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1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<sst xmlns="http://schemas.openxmlformats.org/spreadsheetml/2006/main" count="113" uniqueCount="69">
  <si>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</si>
  <si>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</si>
  <si>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</si>
  <si>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</si>
  <si>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</si>
  <si>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</si>
  <si>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</si>
  <si>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</si>
  <si>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</si>
  <si>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</si>
  <si>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Capacitor</t>
  </si>
  <si>
    <t xml:space="preserve">C2, C5 </t>
  </si>
  <si>
    <t>0.1uF Capacitor</t>
  </si>
  <si>
    <t xml:space="preserve">CAP0603-CAP </t>
  </si>
  <si>
    <t>-</t>
  </si>
  <si>
    <t>0.1uF</t>
  </si>
  <si>
    <t>Resistor</t>
  </si>
  <si>
    <t xml:space="preserve">R2, R3, R9, R10, R12, R17 </t>
  </si>
  <si>
    <t xml:space="preserve">10K Resistor </t>
  </si>
  <si>
    <t>RESISTOR0603</t>
  </si>
  <si>
    <t>10K</t>
  </si>
  <si>
    <t>R1, R4,R8</t>
  </si>
  <si>
    <t>1K Resistor</t>
  </si>
  <si>
    <t>1K</t>
  </si>
  <si>
    <t>R5, R6</t>
  </si>
  <si>
    <t>1M Resistor</t>
  </si>
  <si>
    <t>1M</t>
  </si>
  <si>
    <t>Switch</t>
  </si>
  <si>
    <t>SW1</t>
  </si>
  <si>
    <t>custom</t>
  </si>
  <si>
    <t>GX10700</t>
  </si>
  <si>
    <t xml:space="preserve"> Snaptron</t>
  </si>
  <si>
    <t>Header</t>
  </si>
  <si>
    <t>JST1</t>
  </si>
  <si>
    <t>Headers &amp; Wire Housings 2P SIL SMT HORIZ SHROUDED TAB HEADER</t>
  </si>
  <si>
    <t>M40-4010246</t>
  </si>
  <si>
    <t>Harwin Inc.</t>
  </si>
  <si>
    <t>Mosfet</t>
  </si>
  <si>
    <t>PFET</t>
  </si>
  <si>
    <t>P-Channel Mosfet</t>
  </si>
  <si>
    <t>SOT23-3</t>
  </si>
  <si>
    <t>N-FET, N-FET1</t>
  </si>
  <si>
    <t>N-Channel Mosfet</t>
  </si>
  <si>
    <t>IR LED</t>
  </si>
  <si>
    <t>D1, D2, D3, D4</t>
  </si>
  <si>
    <t>TSAL4400</t>
  </si>
  <si>
    <t>Vishay Semiconductor Opto Division</t>
  </si>
  <si>
    <t>RGB LED</t>
  </si>
  <si>
    <t>RGB_LED</t>
  </si>
  <si>
    <t>WS2812-20202020</t>
  </si>
  <si>
    <t>Worldsemi</t>
  </si>
  <si>
    <t>IC</t>
  </si>
  <si>
    <t>LIS3DH</t>
  </si>
  <si>
    <t>3-Axis Accelerometer with I2C/SPI Interface</t>
  </si>
  <si>
    <t>LIS3DHTR</t>
  </si>
  <si>
    <t>STMicroelectronics</t>
  </si>
  <si>
    <t>Module</t>
  </si>
  <si>
    <t xml:space="preserve">U2   </t>
  </si>
  <si>
    <t xml:space="preserve">MOUDLE-SEEEDUINO-XIAO MOUDLE14P-2.54-21X17.8MM </t>
  </si>
  <si>
    <t>ESP32-C6</t>
  </si>
  <si>
    <t>Saeed Studio</t>
  </si>
  <si>
    <t>Test Point</t>
  </si>
  <si>
    <t>ACCEL, GND</t>
  </si>
  <si>
    <t>Test point</t>
  </si>
  <si>
    <t>FIDUCIAL1.5MM</t>
  </si>
  <si>
    <t xml:space="preserve">BR_FIDUCIAL, TL_FIDUCIAL </t>
  </si>
  <si>
    <t>Fiducial Marker</t>
  </si>
  <si>
    <t>FIDUCIAL1.5MFIDUCIALSQM</t>
  </si>
  <si>
    <t>FIDUCIAL_BOTTOMRIGHT, FIDUCIAL_TOPLEFT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</si>
</sst>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0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E19"/>
  <sheetViews>
    <sheetView tabSelected="1" zoomScale="80" zoomScaleNormal="80" workbookViewId="0">
      <selection activeCell="F22" sqref="F22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343">
      <c r="A1" s="3"/>
      <c r="B1" s="4"/>
      <c r="C1" s="4"/>
      <c r="D1" s="5"/>
      <c r="E1" s="5"/>
      <c r="F1" s="5"/>
      <c r="G1" s="5"/>
      <c r="H1" s="5"/>
      <c r="I1" s="18"/>
      <c r="J1" s="18"/>
      <c r="K1" s="1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</row>
    <row r="2" s="1" customFormat="1" ht="15.75" spans="1:343">
      <c r="A2" s="6"/>
      <c r="B2" s="7" t="s">
        <v>0</v>
      </c>
      <c r="C2" s="8" t="s">
        <v>1</v>
      </c>
      <c r="D2" s="9" t="s">
        <v>2</v>
      </c>
      <c r="E2" s="10" t="s">
        <v>3</v>
      </c>
      <c r="F2" s="7" t="s">
        <v>4</v>
      </c>
      <c r="G2" s="11" t="s">
        <v>5</v>
      </c>
      <c r="H2" s="8" t="s">
        <v>6</v>
      </c>
      <c r="I2" s="11" t="s">
        <v>7</v>
      </c>
      <c r="J2" s="9" t="s">
        <v>8</v>
      </c>
      <c r="K2" s="8" t="s">
        <v>9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</row>
    <row r="3" ht="15.75" spans="1:343">
      <c r="A3" s="3"/>
      <c r="B3" s="12">
        <f>ROW(B3)-ROW($B$2)</f>
        <v>1</v>
      </c>
      <c r="C3" s="13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14</v>
      </c>
      <c r="I3" s="14" t="s">
        <v>15</v>
      </c>
      <c r="J3" s="21">
        <v>2</v>
      </c>
      <c r="K3" s="22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</row>
    <row r="4" s="1" customFormat="1" ht="15.75" spans="1:343">
      <c r="A4" s="6"/>
      <c r="B4" s="15">
        <f>ROW(B4)-ROW($B$2)</f>
        <v>2</v>
      </c>
      <c r="C4" s="16" t="s">
        <v>16</v>
      </c>
      <c r="D4" s="17" t="s">
        <v>17</v>
      </c>
      <c r="E4" s="17" t="s">
        <v>18</v>
      </c>
      <c r="F4" s="17" t="s">
        <v>19</v>
      </c>
      <c r="G4" s="17" t="s">
        <v>14</v>
      </c>
      <c r="H4" s="17" t="s">
        <v>14</v>
      </c>
      <c r="I4" s="17" t="s">
        <v>20</v>
      </c>
      <c r="J4" s="23">
        <v>6</v>
      </c>
      <c r="K4" s="24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</row>
    <row r="5" s="1" customFormat="1" ht="15.75" spans="1:343">
      <c r="A5" s="6"/>
      <c r="B5" s="15">
        <f>ROW(B5)-ROW($B$2)</f>
        <v>3</v>
      </c>
      <c r="C5" s="16" t="s">
        <v>16</v>
      </c>
      <c r="D5" s="17" t="s">
        <v>21</v>
      </c>
      <c r="E5" s="17" t="s">
        <v>22</v>
      </c>
      <c r="F5" s="17" t="s">
        <v>19</v>
      </c>
      <c r="G5" s="17" t="s">
        <v>14</v>
      </c>
      <c r="H5" s="17" t="s">
        <v>14</v>
      </c>
      <c r="I5" s="17" t="s">
        <v>23</v>
      </c>
      <c r="J5" s="23">
        <v>3</v>
      </c>
      <c r="K5" s="2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</row>
    <row r="6" s="1" customFormat="1" ht="15.75" spans="1:343">
      <c r="A6" s="6"/>
      <c r="B6" s="15">
        <f>ROW(B6)-ROW($B$2)</f>
        <v>4</v>
      </c>
      <c r="C6" s="16" t="s">
        <v>16</v>
      </c>
      <c r="D6" s="17" t="s">
        <v>24</v>
      </c>
      <c r="E6" s="17" t="s">
        <v>25</v>
      </c>
      <c r="F6" s="17" t="s">
        <v>19</v>
      </c>
      <c r="G6" s="17" t="s">
        <v>14</v>
      </c>
      <c r="H6" s="17" t="s">
        <v>14</v>
      </c>
      <c r="I6" s="17" t="s">
        <v>26</v>
      </c>
      <c r="J6" s="23">
        <v>2</v>
      </c>
      <c r="K6" s="2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</row>
    <row r="7" s="1" customFormat="1" ht="15.75" spans="1:343">
      <c r="A7" s="6"/>
      <c r="B7" s="15">
        <f>ROW(B7)-ROW($B$2)</f>
        <v>5</v>
      </c>
      <c r="C7" s="16" t="s">
        <v>27</v>
      </c>
      <c r="D7" s="17" t="s">
        <v>28</v>
      </c>
      <c r="E7" s="17" t="s">
        <v>14</v>
      </c>
      <c r="F7" s="17" t="s">
        <v>29</v>
      </c>
      <c r="G7" s="17" t="s">
        <v>30</v>
      </c>
      <c r="H7" s="17" t="s">
        <v>31</v>
      </c>
      <c r="I7" s="17" t="s">
        <v>14</v>
      </c>
      <c r="J7" s="23">
        <v>1</v>
      </c>
      <c r="K7" s="24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</row>
    <row r="8" s="1" customFormat="1" ht="24.75" spans="1:343">
      <c r="A8" s="6"/>
      <c r="B8" s="15">
        <f t="shared" ref="B8:B15" si="0">ROW(B8)-ROW($B$2)</f>
        <v>6</v>
      </c>
      <c r="C8" s="16" t="s">
        <v>32</v>
      </c>
      <c r="D8" s="17" t="s">
        <v>33</v>
      </c>
      <c r="E8" s="17" t="s">
        <v>34</v>
      </c>
      <c r="F8" s="17" t="s">
        <v>29</v>
      </c>
      <c r="G8" s="17" t="s">
        <v>35</v>
      </c>
      <c r="H8" s="17" t="s">
        <v>36</v>
      </c>
      <c r="I8" s="17" t="s">
        <v>14</v>
      </c>
      <c r="J8" s="23">
        <v>1</v>
      </c>
      <c r="K8" s="24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</row>
    <row r="9" s="1" customFormat="1" ht="15.75" spans="1:343">
      <c r="A9" s="6"/>
      <c r="B9" s="15">
        <f t="shared" si="0"/>
        <v>7</v>
      </c>
      <c r="C9" s="16" t="s">
        <v>37</v>
      </c>
      <c r="D9" s="17" t="s">
        <v>38</v>
      </c>
      <c r="E9" s="17" t="s">
        <v>39</v>
      </c>
      <c r="F9" s="17" t="s">
        <v>40</v>
      </c>
      <c r="G9" s="17" t="s">
        <v>14</v>
      </c>
      <c r="H9" s="17" t="s">
        <v>14</v>
      </c>
      <c r="I9" s="17" t="s">
        <v>14</v>
      </c>
      <c r="J9" s="23">
        <v>1</v>
      </c>
      <c r="K9" s="24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</row>
    <row r="10" s="1" customFormat="1" ht="15.75" spans="1:343">
      <c r="A10" s="6"/>
      <c r="B10" s="15">
        <f t="shared" si="0"/>
        <v>8</v>
      </c>
      <c r="C10" s="16" t="s">
        <v>37</v>
      </c>
      <c r="D10" s="17" t="s">
        <v>41</v>
      </c>
      <c r="E10" s="17" t="s">
        <v>42</v>
      </c>
      <c r="F10" s="17" t="s">
        <v>40</v>
      </c>
      <c r="G10" s="17" t="s">
        <v>14</v>
      </c>
      <c r="H10" s="17" t="s">
        <v>14</v>
      </c>
      <c r="I10" s="17" t="s">
        <v>14</v>
      </c>
      <c r="J10" s="23">
        <v>2</v>
      </c>
      <c r="K10" s="24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</row>
    <row r="11" s="1" customFormat="1" ht="24.75" spans="1:343">
      <c r="A11" s="6"/>
      <c r="B11" s="15">
        <f t="shared" si="0"/>
        <v>9</v>
      </c>
      <c r="C11" s="16" t="s">
        <v>43</v>
      </c>
      <c r="D11" s="17" t="s">
        <v>44</v>
      </c>
      <c r="E11" s="17" t="s">
        <v>43</v>
      </c>
      <c r="F11" s="17" t="s">
        <v>29</v>
      </c>
      <c r="G11" s="17" t="s">
        <v>45</v>
      </c>
      <c r="H11" s="17" t="s">
        <v>46</v>
      </c>
      <c r="I11" s="17" t="s">
        <v>14</v>
      </c>
      <c r="J11" s="23">
        <v>4</v>
      </c>
      <c r="K11" s="24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</row>
    <row r="12" ht="15.75" spans="1:343">
      <c r="A12" s="3"/>
      <c r="B12" s="12">
        <f t="shared" si="0"/>
        <v>10</v>
      </c>
      <c r="C12" s="13" t="s">
        <v>47</v>
      </c>
      <c r="D12" s="14" t="s">
        <v>48</v>
      </c>
      <c r="E12" s="14" t="s">
        <v>47</v>
      </c>
      <c r="F12" s="14" t="s">
        <v>29</v>
      </c>
      <c r="G12" s="14" t="s">
        <v>49</v>
      </c>
      <c r="H12" s="14" t="s">
        <v>50</v>
      </c>
      <c r="I12" s="14" t="s">
        <v>14</v>
      </c>
      <c r="J12" s="21">
        <v>1</v>
      </c>
      <c r="K12" s="22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</row>
    <row r="13" s="1" customFormat="1" ht="24.75" spans="1:343">
      <c r="A13" s="6"/>
      <c r="B13" s="15">
        <f>ROW(B13)-ROW($B$2)</f>
        <v>11</v>
      </c>
      <c r="C13" s="16" t="s">
        <v>51</v>
      </c>
      <c r="D13" s="17" t="s">
        <v>52</v>
      </c>
      <c r="E13" s="17" t="s">
        <v>53</v>
      </c>
      <c r="F13" s="17" t="s">
        <v>29</v>
      </c>
      <c r="G13" s="17" t="s">
        <v>54</v>
      </c>
      <c r="H13" s="17" t="s">
        <v>55</v>
      </c>
      <c r="I13" s="17" t="s">
        <v>14</v>
      </c>
      <c r="J13" s="23">
        <v>1</v>
      </c>
      <c r="K13" s="24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</row>
    <row r="14" s="1" customFormat="1" ht="24.75" spans="1:343">
      <c r="A14" s="6"/>
      <c r="B14" s="15">
        <f>ROW(B14)-ROW($B$2)</f>
        <v>12</v>
      </c>
      <c r="C14" s="16" t="s">
        <v>56</v>
      </c>
      <c r="D14" s="17" t="s">
        <v>57</v>
      </c>
      <c r="E14" s="17" t="s">
        <v>58</v>
      </c>
      <c r="F14" s="17" t="s">
        <v>29</v>
      </c>
      <c r="G14" s="17" t="s">
        <v>59</v>
      </c>
      <c r="H14" s="17" t="s">
        <v>60</v>
      </c>
      <c r="I14" s="17" t="s">
        <v>14</v>
      </c>
      <c r="J14" s="23">
        <v>1</v>
      </c>
      <c r="K14" s="24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</row>
    <row r="15" s="1" customFormat="1" ht="15.75" spans="1:343">
      <c r="A15" s="6"/>
      <c r="B15" s="15">
        <f>ROW(B15)-ROW($B$2)</f>
        <v>13</v>
      </c>
      <c r="C15" s="16" t="s">
        <v>61</v>
      </c>
      <c r="D15" s="17" t="s">
        <v>62</v>
      </c>
      <c r="E15" s="17" t="s">
        <v>63</v>
      </c>
      <c r="F15" s="17" t="s">
        <v>29</v>
      </c>
      <c r="G15" s="17" t="s">
        <v>14</v>
      </c>
      <c r="H15" s="17" t="s">
        <v>14</v>
      </c>
      <c r="I15" s="17" t="s">
        <v>14</v>
      </c>
      <c r="J15" s="23">
        <v>2</v>
      </c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</row>
    <row r="16" s="1" customFormat="1" ht="15.75" spans="1:343">
      <c r="A16" s="6"/>
      <c r="B16" s="15">
        <f>ROW(B16)-ROW($B$2)</f>
        <v>14</v>
      </c>
      <c r="C16" s="16" t="s">
        <v>64</v>
      </c>
      <c r="D16" s="17" t="s">
        <v>65</v>
      </c>
      <c r="E16" s="17" t="s">
        <v>66</v>
      </c>
      <c r="F16" s="17"/>
      <c r="G16" s="17" t="s">
        <v>14</v>
      </c>
      <c r="H16" s="17" t="s">
        <v>14</v>
      </c>
      <c r="I16" s="17" t="s">
        <v>14</v>
      </c>
      <c r="J16" s="23">
        <v>2</v>
      </c>
      <c r="K16" s="24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</row>
    <row r="17" s="1" customFormat="1" ht="26.25" spans="1:343">
      <c r="A17" s="6"/>
      <c r="B17" s="15">
        <f>ROW(B17)-ROW($B$2)</f>
        <v>15</v>
      </c>
      <c r="C17" s="16" t="s">
        <v>67</v>
      </c>
      <c r="D17" s="17" t="s">
        <v>68</v>
      </c>
      <c r="E17" s="17" t="s">
        <v>66</v>
      </c>
      <c r="F17" s="17"/>
      <c r="G17" s="17" t="s">
        <v>14</v>
      </c>
      <c r="H17" s="17" t="s">
        <v>14</v>
      </c>
      <c r="I17" s="17" t="s">
        <v>14</v>
      </c>
      <c r="J17" s="23">
        <v>2</v>
      </c>
      <c r="K17" s="2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</row>
    <row r="18" spans="12:343"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</row>
    <row r="19" spans="12:343"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2025-03-26T12:53:17Z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BC051652BFA74FA2BFF489CD6CDC0563_12</vt:lpwstr>
  </property>
  <property fmtid="{D5CDD505-2E9C-101B-9397-08002B2CF9AE}" pid="3" name="KSOProductBuildVer">
    <vt:lpwstr>1033-12.2.0.20326</vt:lpwstr>
  </property>
</Properties>
</file>